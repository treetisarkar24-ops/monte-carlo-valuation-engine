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eterministic" sheetId="3" state="visible" r:id="rId5"/>
    <sheet name="Continuous MC" sheetId="4" state="visible" r:id="rId6"/>
    <sheet name="Shocked MC" sheetId="5" state="visible" r:id="rId7"/>
    <sheet name="Seed Robustnes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<sst xmlns="http://schemas.openxmlformats.org/spreadsheetml/2006/main" count="160" uniqueCount="125">
  <si>
    <t xml:space="preserve">Amazon.com, Inc. (AMZN) — Valuation Summary</t>
  </si>
  <si>
    <t xml:space="preserve">Metric</t>
  </si>
  <si>
    <t xml:space="preserve">Value</t>
  </si>
  <si>
    <t xml:space="preserve">Market price</t>
  </si>
  <si>
    <t xml:space="preserve">Market date</t>
  </si>
  <si>
    <t xml:space="preserve">2026-06-05</t>
  </si>
  <si>
    <t xml:space="preserve">Central DCF / share</t>
  </si>
  <si>
    <t xml:space="preserve">WACC</t>
  </si>
  <si>
    <t xml:space="preserve">Terminal growth</t>
  </si>
  <si>
    <t xml:space="preserve">Continuous MC median</t>
  </si>
  <si>
    <t xml:space="preserve">Continuous MC mean</t>
  </si>
  <si>
    <t xml:space="preserve">Fraction negative (cont)</t>
  </si>
  <si>
    <t xml:space="preserve">Shocked MC median</t>
  </si>
  <si>
    <t xml:space="preserve">Shock-free paths</t>
  </si>
  <si>
    <t xml:space="preserve">Fraction negative (shock)</t>
  </si>
  <si>
    <t xml:space="preserve">Terminal spread (WACC − g)</t>
  </si>
  <si>
    <t xml:space="preserve">Source: Monte Carlo Valuation Engine run (seed 42). Engine applied as-is; no DCF/MC/shock/convergence logic modified.</t>
  </si>
  <si>
    <t xml:space="preserve">DCFInputs Assumptions</t>
  </si>
  <si>
    <t xml:space="preserve">Input</t>
  </si>
  <si>
    <t xml:space="preserve">Rationale</t>
  </si>
  <si>
    <t xml:space="preserve">Starting revenue</t>
  </si>
  <si>
    <t xml:space="preserve">$716,900M</t>
  </si>
  <si>
    <t xml:space="preserve">FY2025 actual net sales (+12% YoY)</t>
  </si>
  <si>
    <t xml:space="preserve">Net debt</t>
  </si>
  <si>
    <t xml:space="preserve">-$57,400M</t>
  </si>
  <si>
    <t xml:space="preserve">Net cash: long-term debt $65.7B minus cash $86.8B and marketable securities $36.2B. Operating-lease liabilities excluded (treated as operating, not financing).</t>
  </si>
  <si>
    <t xml:space="preserve">Shares outstanding</t>
  </si>
  <si>
    <t xml:space="preserve">10,730M</t>
  </si>
  <si>
    <t xml:space="preserve">Approx. diluted share count, FY2025</t>
  </si>
  <si>
    <t xml:space="preserve">Forecast horizon</t>
  </si>
  <si>
    <t xml:space="preserve">7 years</t>
  </si>
  <si>
    <t xml:space="preserve">Explicit-forecast window before terminal value</t>
  </si>
  <si>
    <t xml:space="preserve">Revenue growth</t>
  </si>
  <si>
    <t xml:space="preserve">11% -&gt; 6%</t>
  </si>
  <si>
    <t xml:space="preserve">Fades from low-double-digit (AWS + ads led) toward mature large-cap single digits</t>
  </si>
  <si>
    <t xml:space="preserve">Operating margin</t>
  </si>
  <si>
    <t xml:space="preserve">12% -&gt; 15%</t>
  </si>
  <si>
    <t xml:space="preserve">Gradual expansion as higher-margin AWS and advertising grow as a share of mix</t>
  </si>
  <si>
    <t xml:space="preserve">Capex % revenue</t>
  </si>
  <si>
    <t xml:space="preserve">16% -&gt; 9%</t>
  </si>
  <si>
    <t xml:space="preserve">Elevated AI/datacenter buildout now (FY2025 capex &gt;$100B; management guided ~$200B for 2026), normalising over the horizon. This is the fixture's most aggressive and most uncertain assumption.</t>
  </si>
  <si>
    <t xml:space="preserve">D&amp;A % revenue</t>
  </si>
  <si>
    <t xml:space="preserve">5.8% -&gt; 7.0%</t>
  </si>
  <si>
    <t xml:space="preserve">Rising as the AI-era asset base grows and server useful lives shorten</t>
  </si>
  <si>
    <t xml:space="preserve">NWC % revenue</t>
  </si>
  <si>
    <t xml:space="preserve">0.0% flat</t>
  </si>
  <si>
    <t xml:space="preserve">Conservatively neutral; Amazon historically runs negative working capital (supplier-financed), so this understates a genuine cash advantage</t>
  </si>
  <si>
    <t xml:space="preserve">Tax rate</t>
  </si>
  <si>
    <t xml:space="preserve">15%</t>
  </si>
  <si>
    <t xml:space="preserve">Near recent effective rate</t>
  </si>
  <si>
    <t xml:space="preserve">2.5%</t>
  </si>
  <si>
    <t xml:space="preserve">Long-run nominal GDP-like</t>
  </si>
  <si>
    <t xml:space="preserve">Risk-free rate</t>
  </si>
  <si>
    <t xml:space="preserve">4.3%</t>
  </si>
  <si>
    <t xml:space="preserve">Long Treasury</t>
  </si>
  <si>
    <t xml:space="preserve">Equity risk premium</t>
  </si>
  <si>
    <t xml:space="preserve">5.5%</t>
  </si>
  <si>
    <t xml:space="preserve">Standard equity premium</t>
  </si>
  <si>
    <t xml:space="preserve">Beta</t>
  </si>
  <si>
    <t xml:space="preserve">1.30</t>
  </si>
  <si>
    <t xml:space="preserve">Above-market systematic risk; published readings ranged ~1.3-1.5, the lower end chosen as a central view</t>
  </si>
  <si>
    <t xml:space="preserve">Cost of debt</t>
  </si>
  <si>
    <t xml:space="preserve">5.0%</t>
  </si>
  <si>
    <t xml:space="preserve">High-grade issuer at current rates</t>
  </si>
  <si>
    <t xml:space="preserve">Debt / total capital</t>
  </si>
  <si>
    <t xml:space="preserve">Minimal financial leverage relative to ~$2.6T market cap</t>
  </si>
  <si>
    <t xml:space="preserve">Deterministic Central Case</t>
  </si>
  <si>
    <t xml:space="preserve">Year</t>
  </si>
  <si>
    <t xml:space="preserve">Rev growth</t>
  </si>
  <si>
    <t xml:space="preserve">Op margin</t>
  </si>
  <si>
    <t xml:space="preserve">Capex %</t>
  </si>
  <si>
    <t xml:space="preserve">D&amp;A %</t>
  </si>
  <si>
    <t xml:space="preserve">ΔNWC %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</si>
  <si>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</si>
  <si>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</si>
  <si>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</si>
  <si>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</si>
  <si>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</si>
  <si>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</si>
  <si>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</si>
  <si>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Revenue</t>
  </si>
  <si>
    <t xml:space="preserve">EBIT</t>
  </si>
  <si>
    <t xml:space="preserve">NOPAT</t>
  </si>
  <si>
    <t xml:space="preserve">+ D&amp;A</t>
  </si>
  <si>
    <t xml:space="preserve">− Capex</t>
  </si>
  <si>
    <t xml:space="preserve">FCFF</t>
  </si>
  <si>
    <t xml:space="preserve">FY2025</t>
  </si>
  <si>
    <t xml:space="preserve">All currency figures in fixture units (USD millions).</t>
  </si>
  <si>
    <t xml:space="preserve">Continuous MC</t>
  </si>
  <si>
    <t xml:space="preserve">Statistic</t>
  </si>
  <si>
    <t xml:space="preserve">z (paths)</t>
  </si>
  <si>
    <t xml:space="preserve">Decision margin</t>
  </si>
  <si>
    <t xml:space="preserve">z_pct</t>
  </si>
  <si>
    <t xml:space="preserve">z_elbow</t>
  </si>
  <si>
    <t xml:space="preserve">Mean</t>
  </si>
  <si>
    <t xml:space="preserve">Median</t>
  </si>
  <si>
    <t xml:space="preserve">Std dev</t>
  </si>
  <si>
    <t xml:space="preserve">Min</t>
  </si>
  <si>
    <t xml:space="preserve">Max</t>
  </si>
  <si>
    <t xml:space="preserve">Fraction negative</t>
  </si>
  <si>
    <t xml:space="preserve">Percentile</t>
  </si>
  <si>
    <t xml:space="preserve">P5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</si>
  <si>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</si>
  <si>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</si>
  <si>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</si>
  <si>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</si>
  <si>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</si>
  <si>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P95</t>
  </si>
  <si>
    <t xml:space="preserve">Shocked MC</t>
  </si>
  <si>
    <t xml:space="preserve">Channel</t>
  </si>
  <si>
    <t xml:space="preserve">Fires (all)</t>
  </si>
  <si>
    <t xml:space="preserve">Fires (worst 5%)</t>
  </si>
  <si>
    <t xml:space="preserve">Margin</t>
  </si>
  <si>
    <t xml:space="preserve">Funding</t>
  </si>
  <si>
    <t xml:space="preserve">Strategic</t>
  </si>
  <si>
    <t xml:space="preserve">Cash</t>
  </si>
  <si>
    <t xml:space="preserve">Seed Robustness</t>
  </si>
  <si>
    <t xml:space="preserve">Seed</t>
  </si>
  <si>
    <t xml:space="preserve">z* (cont)</t>
  </si>
  <si>
    <t xml:space="preserve">cont margin</t>
  </si>
  <si>
    <t xml:space="preserve">z** (shock)</t>
  </si>
  <si>
    <t xml:space="preserve">shock margin</t>
  </si>
  <si>
    <t xml:space="preserve">42</t>
  </si>
  <si>
    <t xml:space="preserve">99</t>
  </si>
  <si>
    <t xml:space="preserve">123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</si>
</sst>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0%"/>
    <numFmt numFmtId="167" formatCode="0.0%"/>
    <numFmt numFmtId="168" formatCode="\$#,##0;&quot;($&quot;#,##0\);\-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0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6"/>
      <rgbColor rgb="FF660066"/>
      <rgbColor rgb="FFFF8080"/>
      <rgbColor rgb="FF0066CC"/>
      <rgbColor rgb="FFC9D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v>246.03</v>
      </c>
    </row>
    <row r="5" customFormat="false" ht="15" hidden="false" customHeight="false" outlineLevel="0" collapsed="false">
      <c r="A5" s="5" t="s">
        <v>4</v>
      </c>
      <c r="B5" s="5" t="s">
        <v>5</v>
      </c>
    </row>
    <row r="6" customFormat="false" ht="15" hidden="false" customHeight="false" outlineLevel="0" collapsed="false">
      <c r="A6" s="3" t="s">
        <v>6</v>
      </c>
      <c r="B6" s="6" t="n">
        <v>96.5232389190459</v>
      </c>
    </row>
    <row r="7" customFormat="false" ht="15" hidden="false" customHeight="false" outlineLevel="0" collapsed="false">
      <c r="A7" s="5" t="s">
        <v>7</v>
      </c>
      <c r="B7" s="7" t="n">
        <v>0.1127</v>
      </c>
    </row>
    <row r="8" customFormat="false" ht="15" hidden="false" customHeight="false" outlineLevel="0" collapsed="false">
      <c r="A8" s="3" t="s">
        <v>8</v>
      </c>
      <c r="B8" s="8" t="n">
        <v>0.025</v>
      </c>
    </row>
    <row r="9" customFormat="false" ht="15" hidden="false" customHeight="false" outlineLevel="0" collapsed="false">
      <c r="A9" s="5" t="s">
        <v>9</v>
      </c>
      <c r="B9" s="9" t="n">
        <v>95.8188180474963</v>
      </c>
    </row>
    <row r="10" customFormat="false" ht="15" hidden="false" customHeight="false" outlineLevel="0" collapsed="false">
      <c r="A10" s="3" t="s">
        <v>10</v>
      </c>
      <c r="B10" s="10" t="n">
        <v>98.3719541635424</v>
      </c>
    </row>
    <row r="11" customFormat="false" ht="15" hidden="false" customHeight="false" outlineLevel="0" collapsed="false">
      <c r="A11" s="5" t="s">
        <v>11</v>
      </c>
      <c r="B11" s="11" t="n">
        <v>0</v>
      </c>
    </row>
    <row r="12" customFormat="false" ht="15" hidden="false" customHeight="false" outlineLevel="0" collapsed="false">
      <c r="A12" s="3" t="s">
        <v>12</v>
      </c>
      <c r="B12" s="10" t="n">
        <v>88.6444289157473</v>
      </c>
    </row>
    <row r="13" customFormat="false" ht="15" hidden="false" customHeight="false" outlineLevel="0" collapsed="false">
      <c r="A13" s="5" t="s">
        <v>13</v>
      </c>
      <c r="B13" s="11" t="n">
        <v>0.6742</v>
      </c>
    </row>
    <row r="14" customFormat="false" ht="15" hidden="false" customHeight="false" outlineLevel="0" collapsed="false">
      <c r="A14" s="3" t="s">
        <v>14</v>
      </c>
      <c r="B14" s="12" t="n">
        <v>0.0005</v>
      </c>
    </row>
    <row r="15" customFormat="false" ht="15" hidden="false" customHeight="false" outlineLevel="0" collapsed="false">
      <c r="A15" s="5" t="s">
        <v>15</v>
      </c>
      <c r="B15" s="7" t="n">
        <f aca="false">B7-B8</f>
        <v>0.0877</v>
      </c>
    </row>
    <row r="17" customFormat="false" ht="15" hidden="false" customHeight="false" outlineLevel="0" collapsed="false">
      <c r="A17" s="1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17</v>
      </c>
    </row>
    <row r="3" customFormat="false" ht="15" hidden="false" customHeight="false" outlineLevel="0" collapsed="false">
      <c r="A3" s="2" t="s">
        <v>18</v>
      </c>
      <c r="B3" s="2" t="s">
        <v>2</v>
      </c>
      <c r="C3" s="2" t="s">
        <v>19</v>
      </c>
    </row>
    <row r="4" customFormat="false" ht="15" hidden="false" customHeight="false" outlineLevel="0" collapsed="false">
      <c r="A4" s="3" t="s">
        <v>20</v>
      </c>
      <c r="B4" s="14" t="s">
        <v>21</v>
      </c>
      <c r="C4" s="15" t="s">
        <v>22</v>
      </c>
    </row>
    <row r="5" customFormat="false" ht="39.55" hidden="false" customHeight="false" outlineLevel="0" collapsed="false">
      <c r="A5" s="5" t="s">
        <v>23</v>
      </c>
      <c r="B5" s="16" t="s">
        <v>24</v>
      </c>
      <c r="C5" s="17" t="s">
        <v>25</v>
      </c>
    </row>
    <row r="6" customFormat="false" ht="15" hidden="false" customHeight="false" outlineLevel="0" collapsed="false">
      <c r="A6" s="3" t="s">
        <v>26</v>
      </c>
      <c r="B6" s="14" t="s">
        <v>27</v>
      </c>
      <c r="C6" s="15" t="s">
        <v>28</v>
      </c>
    </row>
    <row r="7" customFormat="false" ht="15" hidden="false" customHeight="false" outlineLevel="0" collapsed="false">
      <c r="A7" s="5" t="s">
        <v>29</v>
      </c>
      <c r="B7" s="16" t="s">
        <v>30</v>
      </c>
      <c r="C7" s="17" t="s">
        <v>31</v>
      </c>
    </row>
    <row r="8" customFormat="false" ht="26.85" hidden="false" customHeight="false" outlineLevel="0" collapsed="false">
      <c r="A8" s="3" t="s">
        <v>32</v>
      </c>
      <c r="B8" s="14" t="s">
        <v>33</v>
      </c>
      <c r="C8" s="15" t="s">
        <v>34</v>
      </c>
    </row>
    <row r="9" customFormat="false" ht="26.85" hidden="false" customHeight="false" outlineLevel="0" collapsed="false">
      <c r="A9" s="5" t="s">
        <v>35</v>
      </c>
      <c r="B9" s="16" t="s">
        <v>36</v>
      </c>
      <c r="C9" s="17" t="s">
        <v>37</v>
      </c>
    </row>
    <row r="10" customFormat="false" ht="39.55" hidden="false" customHeight="false" outlineLevel="0" collapsed="false">
      <c r="A10" s="3" t="s">
        <v>38</v>
      </c>
      <c r="B10" s="14" t="s">
        <v>39</v>
      </c>
      <c r="C10" s="15" t="s">
        <v>40</v>
      </c>
    </row>
    <row r="11" customFormat="false" ht="15" hidden="false" customHeight="false" outlineLevel="0" collapsed="false">
      <c r="A11" s="5" t="s">
        <v>41</v>
      </c>
      <c r="B11" s="16" t="s">
        <v>42</v>
      </c>
      <c r="C11" s="17" t="s">
        <v>43</v>
      </c>
    </row>
    <row r="12" customFormat="false" ht="26.85" hidden="false" customHeight="false" outlineLevel="0" collapsed="false">
      <c r="A12" s="3" t="s">
        <v>44</v>
      </c>
      <c r="B12" s="14" t="s">
        <v>45</v>
      </c>
      <c r="C12" s="15" t="s">
        <v>46</v>
      </c>
    </row>
    <row r="13" customFormat="false" ht="15" hidden="false" customHeight="false" outlineLevel="0" collapsed="false">
      <c r="A13" s="5" t="s">
        <v>47</v>
      </c>
      <c r="B13" s="16" t="s">
        <v>48</v>
      </c>
      <c r="C13" s="17" t="s">
        <v>49</v>
      </c>
    </row>
    <row r="14" customFormat="false" ht="15" hidden="false" customHeight="false" outlineLevel="0" collapsed="false">
      <c r="A14" s="3" t="s">
        <v>8</v>
      </c>
      <c r="B14" s="14" t="s">
        <v>50</v>
      </c>
      <c r="C14" s="15" t="s">
        <v>51</v>
      </c>
    </row>
    <row r="15" customFormat="false" ht="15" hidden="false" customHeight="false" outlineLevel="0" collapsed="false">
      <c r="A15" s="5" t="s">
        <v>52</v>
      </c>
      <c r="B15" s="16" t="s">
        <v>53</v>
      </c>
      <c r="C15" s="17" t="s">
        <v>54</v>
      </c>
    </row>
    <row r="16" customFormat="false" ht="15" hidden="false" customHeight="false" outlineLevel="0" collapsed="false">
      <c r="A16" s="3" t="s">
        <v>55</v>
      </c>
      <c r="B16" s="14" t="s">
        <v>56</v>
      </c>
      <c r="C16" s="15" t="s">
        <v>57</v>
      </c>
    </row>
    <row r="17" customFormat="false" ht="26.85" hidden="false" customHeight="false" outlineLevel="0" collapsed="false">
      <c r="A17" s="5" t="s">
        <v>58</v>
      </c>
      <c r="B17" s="16" t="s">
        <v>59</v>
      </c>
      <c r="C17" s="17" t="s">
        <v>60</v>
      </c>
    </row>
    <row r="18" customFormat="false" ht="15" hidden="false" customHeight="false" outlineLevel="0" collapsed="false">
      <c r="A18" s="3" t="s">
        <v>61</v>
      </c>
      <c r="B18" s="14" t="s">
        <v>62</v>
      </c>
      <c r="C18" s="15" t="s">
        <v>63</v>
      </c>
    </row>
    <row r="19" customFormat="false" ht="15" hidden="false" customHeight="false" outlineLevel="0" collapsed="false">
      <c r="A19" s="5" t="s">
        <v>64</v>
      </c>
      <c r="B19" s="16" t="s">
        <v>50</v>
      </c>
      <c r="C19" s="17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6" min="5" style="0" width="1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66</v>
      </c>
    </row>
    <row r="3" customFormat="false" ht="15" hidden="false" customHeight="false" outlineLevel="0" collapsed="false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72</v>
      </c>
    </row>
    <row r="4" customFormat="false" ht="15" hidden="false" customHeight="false" outlineLevel="0" collapsed="false">
      <c r="A4" s="3" t="s">
        <v>73</v>
      </c>
      <c r="B4" s="18" t="n">
        <v>0.11</v>
      </c>
      <c r="C4" s="18" t="n">
        <v>0.12</v>
      </c>
      <c r="D4" s="18" t="n">
        <v>0.16</v>
      </c>
      <c r="E4" s="18" t="n">
        <v>0.058</v>
      </c>
      <c r="F4" s="18" t="n">
        <v>0</v>
      </c>
    </row>
    <row r="5" customFormat="false" ht="15" hidden="false" customHeight="false" outlineLevel="0" collapsed="false">
      <c r="A5" s="5" t="s">
        <v>74</v>
      </c>
      <c r="B5" s="19" t="n">
        <v>0.1</v>
      </c>
      <c r="C5" s="19" t="n">
        <v>0.125</v>
      </c>
      <c r="D5" s="19" t="n">
        <v>0.15</v>
      </c>
      <c r="E5" s="19" t="n">
        <v>0.06</v>
      </c>
      <c r="F5" s="19" t="n">
        <v>0</v>
      </c>
    </row>
    <row r="6" customFormat="false" ht="15" hidden="false" customHeight="false" outlineLevel="0" collapsed="false">
      <c r="A6" s="3" t="s">
        <v>75</v>
      </c>
      <c r="B6" s="18" t="n">
        <v>0.09</v>
      </c>
      <c r="C6" s="18" t="n">
        <v>0.13</v>
      </c>
      <c r="D6" s="18" t="n">
        <v>0.14</v>
      </c>
      <c r="E6" s="18" t="n">
        <v>0.062</v>
      </c>
      <c r="F6" s="18" t="n">
        <v>0</v>
      </c>
    </row>
    <row r="7" customFormat="false" ht="15" hidden="false" customHeight="false" outlineLevel="0" collapsed="false">
      <c r="A7" s="5" t="s">
        <v>76</v>
      </c>
      <c r="B7" s="19" t="n">
        <v>0.08</v>
      </c>
      <c r="C7" s="19" t="n">
        <v>0.135</v>
      </c>
      <c r="D7" s="19" t="n">
        <v>0.12</v>
      </c>
      <c r="E7" s="19" t="n">
        <v>0.064</v>
      </c>
      <c r="F7" s="19" t="n">
        <v>0</v>
      </c>
    </row>
    <row r="8" customFormat="false" ht="15" hidden="false" customHeight="false" outlineLevel="0" collapsed="false">
      <c r="A8" s="3" t="s">
        <v>77</v>
      </c>
      <c r="B8" s="18" t="n">
        <v>0.07</v>
      </c>
      <c r="C8" s="18" t="n">
        <v>0.14</v>
      </c>
      <c r="D8" s="18" t="n">
        <v>0.11</v>
      </c>
      <c r="E8" s="18" t="n">
        <v>0.066</v>
      </c>
      <c r="F8" s="18" t="n">
        <v>0</v>
      </c>
    </row>
    <row r="9" customFormat="false" ht="15" hidden="false" customHeight="false" outlineLevel="0" collapsed="false">
      <c r="A9" s="5" t="s">
        <v>78</v>
      </c>
      <c r="B9" s="19" t="n">
        <v>0.06</v>
      </c>
      <c r="C9" s="19" t="n">
        <v>0.145</v>
      </c>
      <c r="D9" s="19" t="n">
        <v>0.1</v>
      </c>
      <c r="E9" s="19" t="n">
        <v>0.068</v>
      </c>
      <c r="F9" s="19" t="n">
        <v>0</v>
      </c>
    </row>
    <row r="10" customFormat="false" ht="15" hidden="false" customHeight="false" outlineLevel="0" collapsed="false">
      <c r="A10" s="3" t="s">
        <v>79</v>
      </c>
      <c r="B10" s="18" t="n">
        <v>0.06</v>
      </c>
      <c r="C10" s="18" t="n">
        <v>0.15</v>
      </c>
      <c r="D10" s="18" t="n">
        <v>0.09</v>
      </c>
      <c r="E10" s="18" t="n">
        <v>0.07</v>
      </c>
      <c r="F10" s="18" t="n">
        <v>0</v>
      </c>
    </row>
    <row r="13" customFormat="false" ht="15" hidden="false" customHeight="false" outlineLevel="0" collapsed="false">
      <c r="A13" s="2" t="s">
        <v>67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</row>
    <row r="14" customFormat="false" ht="15" hidden="false" customHeight="false" outlineLevel="0" collapsed="false">
      <c r="A14" s="5" t="s">
        <v>86</v>
      </c>
      <c r="B14" s="20" t="n">
        <v>716900</v>
      </c>
      <c r="C14" s="21"/>
      <c r="D14" s="21"/>
      <c r="E14" s="21"/>
      <c r="F14" s="21"/>
      <c r="G14" s="21"/>
    </row>
    <row r="15" customFormat="false" ht="15" hidden="false" customHeight="false" outlineLevel="0" collapsed="false">
      <c r="A15" s="5" t="s">
        <v>73</v>
      </c>
      <c r="B15" s="20" t="n">
        <v>795759</v>
      </c>
      <c r="C15" s="20" t="n">
        <v>95491.08</v>
      </c>
      <c r="D15" s="20" t="n">
        <v>81167.418</v>
      </c>
      <c r="E15" s="20" t="n">
        <v>46154.022</v>
      </c>
      <c r="F15" s="20" t="n">
        <v>-127321.44</v>
      </c>
      <c r="G15" s="20" t="n">
        <v>0</v>
      </c>
    </row>
    <row r="16" customFormat="false" ht="15" hidden="false" customHeight="false" outlineLevel="0" collapsed="false">
      <c r="A16" s="3" t="s">
        <v>74</v>
      </c>
      <c r="B16" s="22" t="n">
        <v>875334.9</v>
      </c>
      <c r="C16" s="22" t="n">
        <v>109416.8625</v>
      </c>
      <c r="D16" s="22" t="n">
        <v>93004.333125</v>
      </c>
      <c r="E16" s="22" t="n">
        <v>52520.094</v>
      </c>
      <c r="F16" s="22" t="n">
        <v>-131300.235</v>
      </c>
      <c r="G16" s="22" t="n">
        <v>14224.192125</v>
      </c>
    </row>
    <row r="17" customFormat="false" ht="15" hidden="false" customHeight="false" outlineLevel="0" collapsed="false">
      <c r="A17" s="5" t="s">
        <v>75</v>
      </c>
      <c r="B17" s="20" t="n">
        <v>954115.041</v>
      </c>
      <c r="C17" s="20" t="n">
        <v>124034.95533</v>
      </c>
      <c r="D17" s="20" t="n">
        <v>105429.7120305</v>
      </c>
      <c r="E17" s="20" t="n">
        <v>59155.132542</v>
      </c>
      <c r="F17" s="20" t="n">
        <v>-133576.10574</v>
      </c>
      <c r="G17" s="20" t="n">
        <v>31008.7388325</v>
      </c>
    </row>
    <row r="18" customFormat="false" ht="15" hidden="false" customHeight="false" outlineLevel="0" collapsed="false">
      <c r="A18" s="3" t="s">
        <v>76</v>
      </c>
      <c r="B18" s="22" t="n">
        <v>1030444.24428</v>
      </c>
      <c r="C18" s="22" t="n">
        <v>139109.9729778</v>
      </c>
      <c r="D18" s="22" t="n">
        <v>118243.47703113</v>
      </c>
      <c r="E18" s="22" t="n">
        <v>65948.43163392</v>
      </c>
      <c r="F18" s="22" t="n">
        <v>-123653.3093136</v>
      </c>
      <c r="G18" s="22" t="n">
        <v>60538.59935145</v>
      </c>
    </row>
    <row r="19" customFormat="false" ht="15" hidden="false" customHeight="false" outlineLevel="0" collapsed="false">
      <c r="A19" s="5" t="s">
        <v>77</v>
      </c>
      <c r="B19" s="20" t="n">
        <v>1102575.3413796</v>
      </c>
      <c r="C19" s="20" t="n">
        <v>154360.547793144</v>
      </c>
      <c r="D19" s="20" t="n">
        <v>131206.465624173</v>
      </c>
      <c r="E19" s="20" t="n">
        <v>72769.9725310537</v>
      </c>
      <c r="F19" s="20" t="n">
        <v>-121283.287551756</v>
      </c>
      <c r="G19" s="20" t="n">
        <v>82693.1506034701</v>
      </c>
    </row>
    <row r="20" customFormat="false" ht="15" hidden="false" customHeight="false" outlineLevel="0" collapsed="false">
      <c r="A20" s="3" t="s">
        <v>78</v>
      </c>
      <c r="B20" s="22" t="n">
        <v>1168729.86186238</v>
      </c>
      <c r="C20" s="22" t="n">
        <v>169465.829970045</v>
      </c>
      <c r="D20" s="22" t="n">
        <v>144045.955474538</v>
      </c>
      <c r="E20" s="22" t="n">
        <v>79473.6306066416</v>
      </c>
      <c r="F20" s="22" t="n">
        <v>-116872.986186238</v>
      </c>
      <c r="G20" s="22" t="n">
        <v>106646.599894942</v>
      </c>
    </row>
    <row r="21" customFormat="false" ht="15" hidden="false" customHeight="false" outlineLevel="0" collapsed="false">
      <c r="A21" s="5" t="s">
        <v>79</v>
      </c>
      <c r="B21" s="20" t="n">
        <v>1238853.65357412</v>
      </c>
      <c r="C21" s="20" t="n">
        <v>185828.048036118</v>
      </c>
      <c r="D21" s="20" t="n">
        <v>157953.8408307</v>
      </c>
      <c r="E21" s="20" t="n">
        <v>86719.7557501884</v>
      </c>
      <c r="F21" s="20" t="n">
        <v>-111496.828821671</v>
      </c>
      <c r="G21" s="20" t="n">
        <v>133176.767759218</v>
      </c>
    </row>
    <row r="23" customFormat="false" ht="15" hidden="false" customHeight="false" outlineLevel="0" collapsed="false">
      <c r="A23" s="1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88</v>
      </c>
    </row>
    <row r="3" customFormat="false" ht="15" hidden="false" customHeight="false" outlineLevel="0" collapsed="false">
      <c r="A3" s="2" t="s">
        <v>89</v>
      </c>
      <c r="B3" s="2" t="s">
        <v>2</v>
      </c>
    </row>
    <row r="4" customFormat="false" ht="15" hidden="false" customHeight="false" outlineLevel="0" collapsed="false">
      <c r="A4" s="3" t="s">
        <v>90</v>
      </c>
      <c r="B4" s="23" t="n">
        <v>2000</v>
      </c>
    </row>
    <row r="5" customFormat="false" ht="15" hidden="false" customHeight="false" outlineLevel="0" collapsed="false">
      <c r="A5" s="5" t="s">
        <v>91</v>
      </c>
      <c r="B5" s="11" t="n">
        <v>0.83231945469409</v>
      </c>
    </row>
    <row r="6" customFormat="false" ht="15" hidden="false" customHeight="false" outlineLevel="0" collapsed="false">
      <c r="A6" s="3" t="s">
        <v>92</v>
      </c>
      <c r="B6" s="23" t="n">
        <v>1000</v>
      </c>
    </row>
    <row r="7" customFormat="false" ht="15" hidden="false" customHeight="false" outlineLevel="0" collapsed="false">
      <c r="A7" s="5" t="s">
        <v>93</v>
      </c>
      <c r="B7" s="24" t="n">
        <v>2000</v>
      </c>
    </row>
    <row r="8" customFormat="false" ht="15" hidden="false" customHeight="false" outlineLevel="0" collapsed="false">
      <c r="A8" s="3" t="s">
        <v>94</v>
      </c>
      <c r="B8" s="10" t="n">
        <v>98.3719541635424</v>
      </c>
    </row>
    <row r="9" customFormat="false" ht="15" hidden="false" customHeight="false" outlineLevel="0" collapsed="false">
      <c r="A9" s="5" t="s">
        <v>95</v>
      </c>
      <c r="B9" s="9" t="n">
        <v>95.8188180474963</v>
      </c>
    </row>
    <row r="10" customFormat="false" ht="15" hidden="false" customHeight="false" outlineLevel="0" collapsed="false">
      <c r="A10" s="3" t="s">
        <v>96</v>
      </c>
      <c r="B10" s="10" t="n">
        <v>29.9802835641342</v>
      </c>
    </row>
    <row r="11" customFormat="false" ht="15" hidden="false" customHeight="false" outlineLevel="0" collapsed="false">
      <c r="A11" s="5" t="s">
        <v>97</v>
      </c>
      <c r="B11" s="9" t="n">
        <v>8.3638507831182</v>
      </c>
    </row>
    <row r="12" customFormat="false" ht="15" hidden="false" customHeight="false" outlineLevel="0" collapsed="false">
      <c r="A12" s="3" t="s">
        <v>98</v>
      </c>
      <c r="B12" s="10" t="n">
        <v>223.711404760706</v>
      </c>
    </row>
    <row r="13" customFormat="false" ht="15" hidden="false" customHeight="false" outlineLevel="0" collapsed="false">
      <c r="A13" s="5" t="s">
        <v>99</v>
      </c>
      <c r="B13" s="11" t="n">
        <v>0</v>
      </c>
    </row>
    <row r="15" customFormat="false" ht="15" hidden="false" customHeight="false" outlineLevel="0" collapsed="false">
      <c r="A15" s="2" t="s">
        <v>100</v>
      </c>
      <c r="B15" s="2" t="s">
        <v>2</v>
      </c>
    </row>
    <row r="16" customFormat="false" ht="15" hidden="false" customHeight="false" outlineLevel="0" collapsed="false">
      <c r="A16" s="3" t="s">
        <v>101</v>
      </c>
      <c r="B16" s="10" t="n">
        <v>53.7717252826427</v>
      </c>
    </row>
    <row r="17" customFormat="false" ht="15" hidden="false" customHeight="false" outlineLevel="0" collapsed="false">
      <c r="A17" s="5" t="s">
        <v>102</v>
      </c>
      <c r="B17" s="9" t="n">
        <v>62.7752736545585</v>
      </c>
    </row>
    <row r="18" customFormat="false" ht="15" hidden="false" customHeight="false" outlineLevel="0" collapsed="false">
      <c r="A18" s="3" t="s">
        <v>103</v>
      </c>
      <c r="B18" s="10" t="n">
        <v>76.7903498214439</v>
      </c>
    </row>
    <row r="19" customFormat="false" ht="15" hidden="false" customHeight="false" outlineLevel="0" collapsed="false">
      <c r="A19" s="5" t="s">
        <v>104</v>
      </c>
      <c r="B19" s="9" t="n">
        <v>95.8188180474963</v>
      </c>
    </row>
    <row r="20" customFormat="false" ht="15" hidden="false" customHeight="false" outlineLevel="0" collapsed="false">
      <c r="A20" s="3" t="s">
        <v>105</v>
      </c>
      <c r="B20" s="10" t="n">
        <v>117.596697440902</v>
      </c>
    </row>
    <row r="21" customFormat="false" ht="15" hidden="false" customHeight="false" outlineLevel="0" collapsed="false">
      <c r="A21" s="5" t="s">
        <v>106</v>
      </c>
      <c r="B21" s="9" t="n">
        <v>138.979071513198</v>
      </c>
    </row>
    <row r="22" customFormat="false" ht="15" hidden="false" customHeight="false" outlineLevel="0" collapsed="false">
      <c r="A22" s="3" t="s">
        <v>107</v>
      </c>
      <c r="B22" s="10" t="n">
        <v>151.940886380129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108</v>
      </c>
    </row>
    <row r="3" customFormat="false" ht="15" hidden="false" customHeight="false" outlineLevel="0" collapsed="false">
      <c r="A3" s="2" t="s">
        <v>89</v>
      </c>
      <c r="B3" s="2" t="s">
        <v>2</v>
      </c>
    </row>
    <row r="4" customFormat="false" ht="15" hidden="false" customHeight="false" outlineLevel="0" collapsed="false">
      <c r="A4" s="3" t="s">
        <v>90</v>
      </c>
      <c r="B4" s="23" t="n">
        <v>2000</v>
      </c>
    </row>
    <row r="5" customFormat="false" ht="15" hidden="false" customHeight="false" outlineLevel="0" collapsed="false">
      <c r="A5" s="5" t="s">
        <v>91</v>
      </c>
      <c r="B5" s="11" t="n">
        <v>0.362399972129556</v>
      </c>
    </row>
    <row r="6" customFormat="false" ht="15" hidden="false" customHeight="false" outlineLevel="0" collapsed="false">
      <c r="A6" s="3" t="s">
        <v>92</v>
      </c>
      <c r="B6" s="23" t="n">
        <v>2000</v>
      </c>
    </row>
    <row r="7" customFormat="false" ht="15" hidden="false" customHeight="false" outlineLevel="0" collapsed="false">
      <c r="A7" s="5" t="s">
        <v>93</v>
      </c>
      <c r="B7" s="24" t="n">
        <v>1000</v>
      </c>
    </row>
    <row r="8" customFormat="false" ht="15" hidden="false" customHeight="false" outlineLevel="0" collapsed="false">
      <c r="A8" s="3" t="s">
        <v>94</v>
      </c>
      <c r="B8" s="10" t="n">
        <v>90.8648708581234</v>
      </c>
    </row>
    <row r="9" customFormat="false" ht="15" hidden="false" customHeight="false" outlineLevel="0" collapsed="false">
      <c r="A9" s="5" t="s">
        <v>95</v>
      </c>
      <c r="B9" s="9" t="n">
        <v>88.6444289157473</v>
      </c>
    </row>
    <row r="10" customFormat="false" ht="15" hidden="false" customHeight="false" outlineLevel="0" collapsed="false">
      <c r="A10" s="3" t="s">
        <v>96</v>
      </c>
      <c r="B10" s="10" t="n">
        <v>32.4822685540426</v>
      </c>
    </row>
    <row r="11" customFormat="false" ht="15" hidden="false" customHeight="false" outlineLevel="0" collapsed="false">
      <c r="A11" s="5" t="s">
        <v>97</v>
      </c>
      <c r="B11" s="9" t="n">
        <v>-1.43730396147536</v>
      </c>
    </row>
    <row r="12" customFormat="false" ht="15" hidden="false" customHeight="false" outlineLevel="0" collapsed="false">
      <c r="A12" s="3" t="s">
        <v>98</v>
      </c>
      <c r="B12" s="10" t="n">
        <v>234.120761443649</v>
      </c>
    </row>
    <row r="13" customFormat="false" ht="15" hidden="false" customHeight="false" outlineLevel="0" collapsed="false">
      <c r="A13" s="5" t="s">
        <v>99</v>
      </c>
      <c r="B13" s="11" t="n">
        <v>0.0005</v>
      </c>
    </row>
    <row r="15" customFormat="false" ht="15" hidden="false" customHeight="false" outlineLevel="0" collapsed="false">
      <c r="A15" s="2" t="s">
        <v>100</v>
      </c>
      <c r="B15" s="2" t="s">
        <v>2</v>
      </c>
    </row>
    <row r="16" customFormat="false" ht="15" hidden="false" customHeight="false" outlineLevel="0" collapsed="false">
      <c r="A16" s="3" t="s">
        <v>101</v>
      </c>
      <c r="B16" s="10" t="n">
        <v>40.1997496573887</v>
      </c>
    </row>
    <row r="17" customFormat="false" ht="15" hidden="false" customHeight="false" outlineLevel="0" collapsed="false">
      <c r="A17" s="5" t="s">
        <v>102</v>
      </c>
      <c r="B17" s="9" t="n">
        <v>52.0411984230632</v>
      </c>
    </row>
    <row r="18" customFormat="false" ht="15" hidden="false" customHeight="false" outlineLevel="0" collapsed="false">
      <c r="A18" s="3" t="s">
        <v>103</v>
      </c>
      <c r="B18" s="10" t="n">
        <v>68.3910147554545</v>
      </c>
    </row>
    <row r="19" customFormat="false" ht="15" hidden="false" customHeight="false" outlineLevel="0" collapsed="false">
      <c r="A19" s="5" t="s">
        <v>104</v>
      </c>
      <c r="B19" s="9" t="n">
        <v>88.6444289157473</v>
      </c>
    </row>
    <row r="20" customFormat="false" ht="15" hidden="false" customHeight="false" outlineLevel="0" collapsed="false">
      <c r="A20" s="3" t="s">
        <v>105</v>
      </c>
      <c r="B20" s="10" t="n">
        <v>110.256435573386</v>
      </c>
    </row>
    <row r="21" customFormat="false" ht="15" hidden="false" customHeight="false" outlineLevel="0" collapsed="false">
      <c r="A21" s="5" t="s">
        <v>106</v>
      </c>
      <c r="B21" s="9" t="n">
        <v>132.139531817992</v>
      </c>
    </row>
    <row r="22" customFormat="false" ht="15" hidden="false" customHeight="false" outlineLevel="0" collapsed="false">
      <c r="A22" s="3" t="s">
        <v>107</v>
      </c>
      <c r="B22" s="10" t="n">
        <v>146.081894457067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</row>
    <row r="25" customFormat="false" ht="15" hidden="false" customHeight="false" outlineLevel="0" collapsed="false">
      <c r="A25" s="5" t="s">
        <v>80</v>
      </c>
      <c r="B25" s="5" t="n">
        <v>448</v>
      </c>
      <c r="C25" s="5" t="n">
        <v>97</v>
      </c>
    </row>
    <row r="26" customFormat="false" ht="15" hidden="false" customHeight="false" outlineLevel="0" collapsed="false">
      <c r="A26" s="3" t="s">
        <v>112</v>
      </c>
      <c r="B26" s="3" t="n">
        <v>417</v>
      </c>
      <c r="C26" s="3" t="n">
        <v>127</v>
      </c>
    </row>
    <row r="27" customFormat="false" ht="15" hidden="false" customHeight="false" outlineLevel="0" collapsed="false">
      <c r="A27" s="5" t="s">
        <v>113</v>
      </c>
      <c r="B27" s="5" t="n">
        <v>436</v>
      </c>
      <c r="C27" s="5" t="n">
        <v>44</v>
      </c>
    </row>
    <row r="28" customFormat="false" ht="15" hidden="false" customHeight="false" outlineLevel="0" collapsed="false">
      <c r="A28" s="3" t="s">
        <v>114</v>
      </c>
      <c r="B28" s="3" t="n">
        <v>415</v>
      </c>
      <c r="C28" s="3" t="n">
        <v>52</v>
      </c>
    </row>
    <row r="29" customFormat="false" ht="15" hidden="false" customHeight="false" outlineLevel="0" collapsed="false">
      <c r="A29" s="5" t="s">
        <v>115</v>
      </c>
      <c r="B29" s="5" t="n">
        <v>453</v>
      </c>
      <c r="C29" s="5" t="n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116</v>
      </c>
    </row>
    <row r="3" customFormat="false" ht="15" hidden="false" customHeight="false" outlineLevel="0" collapsed="false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</row>
    <row r="4" customFormat="false" ht="15" hidden="false" customHeight="false" outlineLevel="0" collapsed="false">
      <c r="A4" s="3" t="s">
        <v>122</v>
      </c>
      <c r="B4" s="3" t="n">
        <v>2000</v>
      </c>
      <c r="C4" s="12" t="n">
        <v>0.83231945469409</v>
      </c>
      <c r="D4" s="3" t="n">
        <v>2000</v>
      </c>
      <c r="E4" s="12" t="n">
        <v>0.362399972129556</v>
      </c>
    </row>
    <row r="5" customFormat="false" ht="15" hidden="false" customHeight="false" outlineLevel="0" collapsed="false">
      <c r="A5" s="5" t="s">
        <v>123</v>
      </c>
      <c r="B5" s="5" t="n">
        <v>3000</v>
      </c>
      <c r="C5" s="11" t="n">
        <v>1.01508800535665</v>
      </c>
      <c r="D5" s="5" t="n">
        <v>1500</v>
      </c>
      <c r="E5" s="11" t="n">
        <v>0.029577569139581</v>
      </c>
    </row>
    <row r="6" customFormat="false" ht="15" hidden="false" customHeight="false" outlineLevel="0" collapsed="false">
      <c r="A6" s="3" t="s">
        <v>124</v>
      </c>
      <c r="B6" s="3" t="n">
        <v>1500</v>
      </c>
      <c r="C6" s="12" t="n">
        <v>0.250180104784092</v>
      </c>
      <c r="D6" s="3" t="n">
        <v>1500</v>
      </c>
      <c r="E6" s="12" t="n">
        <v>0.615455419121676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2026-06-09T10:23:53Z</dcterms:created>
  <dc:creator>openpyxl</dc:creator>
  <dc:description/>
  <dc:language>en-US</dc:language>
  <cp:lastModifiedBy/>
  <dcterms:modified xsi:type="dcterms:W3CDTF">2026-06-09T10:23:53Z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