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eterministic" sheetId="3" state="visible" r:id="rId3"/>
    <sheet xmlns:r="http://schemas.openxmlformats.org/officeDocument/2006/relationships" name="Continuous MC" sheetId="4" state="visible" r:id="rId4"/>
    <sheet xmlns:r="http://schemas.openxmlformats.org/officeDocument/2006/relationships" name="Shocked MC" sheetId="5" state="visible" r:id="rId5"/>
    <sheet xmlns:r="http://schemas.openxmlformats.org/officeDocument/2006/relationships" name="Seed Robustn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($#,##0.00);-"/>
    <numFmt numFmtId="165" formatCode="0.0%"/>
    <numFmt numFmtId="166" formatCode="$#,##0;($#,##0);-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  <color rgb="001F3A5F"/>
    </font>
    <font>
      <name val="Arial"/>
      <i val="1"/>
      <sz val="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3" borderId="1" pivotButton="0" quotePrefix="0" xfId="0"/>
    <xf numFmtId="164" fontId="4" fillId="3" borderId="1" pivotButton="0" quotePrefix="0" xfId="0"/>
    <xf numFmtId="0" fontId="3" fillId="0" borderId="1" pivotButton="0" quotePrefix="0" xfId="0"/>
    <xf numFmtId="164" fontId="5" fillId="3" borderId="1" pivotButton="0" quotePrefix="0" xfId="0"/>
    <xf numFmtId="10" fontId="3" fillId="0" borderId="1" pivotButton="0" quotePrefix="0" xfId="0"/>
    <xf numFmtId="10" fontId="4" fillId="3" borderId="1" pivotButton="0" quotePrefix="0" xfId="0"/>
    <xf numFmtId="164" fontId="3" fillId="0" borderId="1" pivotButton="0" quotePrefix="0" xfId="0"/>
    <xf numFmtId="164" fontId="3" fillId="3" borderId="1" pivotButton="0" quotePrefix="0" xfId="0"/>
    <xf numFmtId="165" fontId="3" fillId="0" borderId="1" pivotButton="0" quotePrefix="0" xfId="0"/>
    <xf numFmtId="165" fontId="3" fillId="3" borderId="1" pivotButton="0" quotePrefix="0" xfId="0"/>
    <xf numFmtId="0" fontId="6" fillId="0" borderId="0" pivotButton="0" quotePrefix="0" xfId="0"/>
    <xf numFmtId="0" fontId="4" fillId="3" borderId="1" pivotButton="0" quotePrefix="0" xfId="0"/>
    <xf numFmtId="0" fontId="3" fillId="3" borderId="1" applyAlignment="1" pivotButton="0" quotePrefix="0" xfId="0">
      <alignment vertical="top" wrapText="1"/>
    </xf>
    <xf numFmtId="0" fontId="4" fillId="0" borderId="1" pivotButton="0" quotePrefix="0" xfId="0"/>
    <xf numFmtId="0" fontId="3" fillId="0" borderId="1" applyAlignment="1" pivotButton="0" quotePrefix="0" xfId="0">
      <alignment vertical="top" wrapText="1"/>
    </xf>
    <xf numFmtId="165" fontId="4" fillId="3" borderId="1" pivotButton="0" quotePrefix="0" xfId="0"/>
    <xf numFmtId="165" fontId="4" fillId="0" borderId="1" pivotButton="0" quotePrefix="0" xfId="0"/>
    <xf numFmtId="166" fontId="3" fillId="0" borderId="1" pivotButton="0" quotePrefix="0" xfId="0"/>
    <xf numFmtId="0" fontId="0" fillId="0" borderId="1" pivotButton="0" quotePrefix="0" xfId="0"/>
    <xf numFmtId="166" fontId="3" fillId="3" borderId="1" pivotButton="0" quotePrefix="0" xfId="0"/>
    <xf numFmtId="1" fontId="3" fillId="3" borderId="1" pivotButton="0" quotePrefix="0" xfId="0"/>
    <xf numFmtId="1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Amazon.com, Inc. (AMZN) — Valuation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Market price</t>
        </is>
      </c>
      <c r="B4" s="4" t="n">
        <v>246.03</v>
      </c>
    </row>
    <row r="5">
      <c r="A5" s="5" t="inlineStr">
        <is>
          <t>Market date</t>
        </is>
      </c>
      <c r="B5" s="5" t="inlineStr">
        <is>
          <t>2026-06-05</t>
        </is>
      </c>
    </row>
    <row r="6">
      <c r="A6" s="3" t="inlineStr">
        <is>
          <t>Central DCF / share</t>
        </is>
      </c>
      <c r="B6" s="6" t="n">
        <v>96.52323891904588</v>
      </c>
    </row>
    <row r="7">
      <c r="A7" s="5" t="inlineStr">
        <is>
          <t>WACC</t>
        </is>
      </c>
      <c r="B7" s="7" t="n">
        <v>0.1127</v>
      </c>
    </row>
    <row r="8">
      <c r="A8" s="3" t="inlineStr">
        <is>
          <t>Terminal growth</t>
        </is>
      </c>
      <c r="B8" s="8" t="n">
        <v>0.025</v>
      </c>
    </row>
    <row r="9">
      <c r="A9" s="5" t="inlineStr">
        <is>
          <t>Continuous MC median</t>
        </is>
      </c>
      <c r="B9" s="9" t="n">
        <v>95.81881804749626</v>
      </c>
    </row>
    <row r="10">
      <c r="A10" s="3" t="inlineStr">
        <is>
          <t>Continuous MC mean</t>
        </is>
      </c>
      <c r="B10" s="10" t="n">
        <v>98.37195416354237</v>
      </c>
    </row>
    <row r="11">
      <c r="A11" s="5" t="inlineStr">
        <is>
          <t>Fraction negative (cont)</t>
        </is>
      </c>
      <c r="B11" s="11" t="n">
        <v>0</v>
      </c>
    </row>
    <row r="12">
      <c r="A12" s="3" t="inlineStr">
        <is>
          <t>Shocked MC median</t>
        </is>
      </c>
      <c r="B12" s="10" t="n">
        <v>88.64442891574731</v>
      </c>
    </row>
    <row r="13">
      <c r="A13" s="5" t="inlineStr">
        <is>
          <t>Shock-free paths</t>
        </is>
      </c>
      <c r="B13" s="11" t="n">
        <v>0.6742</v>
      </c>
    </row>
    <row r="14">
      <c r="A14" s="3" t="inlineStr">
        <is>
          <t>Fraction negative (shock)</t>
        </is>
      </c>
      <c r="B14" s="12" t="n">
        <v>0.0005</v>
      </c>
    </row>
    <row r="15">
      <c r="A15" s="5" t="inlineStr">
        <is>
          <t>Terminal spread (WACC − g)</t>
        </is>
      </c>
      <c r="B15" s="7">
        <f>B7-B8</f>
        <v/>
      </c>
    </row>
    <row r="17">
      <c r="A17" s="13" t="inlineStr">
        <is>
          <t>Source: Monte Carlo Valuation Engine run (seed 42). Engine applied as-is; no DCF/MC/shock/convergence logic modified.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0" customWidth="1" min="3" max="3"/>
  </cols>
  <sheetData>
    <row r="1">
      <c r="A1" s="1" t="inlineStr">
        <is>
          <t>DCFInputs Assumptions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Rationale</t>
        </is>
      </c>
    </row>
    <row r="4">
      <c r="A4" s="3" t="inlineStr">
        <is>
          <t>Starting revenue</t>
        </is>
      </c>
      <c r="B4" s="14" t="inlineStr">
        <is>
          <t>$716,900M</t>
        </is>
      </c>
      <c r="C4" s="15" t="inlineStr">
        <is>
          <t>FY2025 actual net sales (+12% YoY)</t>
        </is>
      </c>
    </row>
    <row r="5">
      <c r="A5" s="5" t="inlineStr">
        <is>
          <t>Net debt</t>
        </is>
      </c>
      <c r="B5" s="16" t="inlineStr">
        <is>
          <t>-$57,400M</t>
        </is>
      </c>
      <c r="C5" s="17" t="inlineStr">
        <is>
          <t>Net cash: long-term debt $65.7B minus cash $86.8B and marketable securities $36.2B. Operating-lease liabilities excluded (treated as operating, not financing).</t>
        </is>
      </c>
    </row>
    <row r="6">
      <c r="A6" s="3" t="inlineStr">
        <is>
          <t>Shares outstanding</t>
        </is>
      </c>
      <c r="B6" s="14" t="inlineStr">
        <is>
          <t>10,730M</t>
        </is>
      </c>
      <c r="C6" s="15" t="inlineStr">
        <is>
          <t>Approx. diluted share count, FY2025</t>
        </is>
      </c>
    </row>
    <row r="7">
      <c r="A7" s="5" t="inlineStr">
        <is>
          <t>Forecast horizon</t>
        </is>
      </c>
      <c r="B7" s="16" t="inlineStr">
        <is>
          <t>7 years</t>
        </is>
      </c>
      <c r="C7" s="17" t="inlineStr">
        <is>
          <t>Explicit-forecast window before terminal value</t>
        </is>
      </c>
    </row>
    <row r="8">
      <c r="A8" s="3" t="inlineStr">
        <is>
          <t>Revenue growth</t>
        </is>
      </c>
      <c r="B8" s="14" t="inlineStr">
        <is>
          <t>11% -&gt; 6%</t>
        </is>
      </c>
      <c r="C8" s="15" t="inlineStr">
        <is>
          <t>Fades from low-double-digit (AWS + ads led) toward mature large-cap single digits</t>
        </is>
      </c>
    </row>
    <row r="9">
      <c r="A9" s="5" t="inlineStr">
        <is>
          <t>Operating margin</t>
        </is>
      </c>
      <c r="B9" s="16" t="inlineStr">
        <is>
          <t>12% -&gt; 15%</t>
        </is>
      </c>
      <c r="C9" s="17" t="inlineStr">
        <is>
          <t>Gradual expansion as higher-margin AWS and advertising grow as a share of mix</t>
        </is>
      </c>
    </row>
    <row r="10">
      <c r="A10" s="3" t="inlineStr">
        <is>
          <t>Capex % revenue</t>
        </is>
      </c>
      <c r="B10" s="14" t="inlineStr">
        <is>
          <t>16% -&gt; 9%</t>
        </is>
      </c>
      <c r="C10" s="15" t="inlineStr">
        <is>
          <t>Elevated AI/datacenter buildout now (FY2025 capex &gt;$100B; management guided ~$200B for 2026), normalising over the horizon. This is the fixture's most aggressive and most uncertain assumption.</t>
        </is>
      </c>
    </row>
    <row r="11">
      <c r="A11" s="5" t="inlineStr">
        <is>
          <t>D&amp;A % revenue</t>
        </is>
      </c>
      <c r="B11" s="16" t="inlineStr">
        <is>
          <t>5.8% -&gt; 7.0%</t>
        </is>
      </c>
      <c r="C11" s="17" t="inlineStr">
        <is>
          <t>Rising as the AI-era asset base grows and server useful lives shorten</t>
        </is>
      </c>
    </row>
    <row r="12">
      <c r="A12" s="3" t="inlineStr">
        <is>
          <t>NWC % revenue</t>
        </is>
      </c>
      <c r="B12" s="14" t="inlineStr">
        <is>
          <t>0.0% flat</t>
        </is>
      </c>
      <c r="C12" s="15" t="inlineStr">
        <is>
          <t>Conservatively neutral; Amazon historically runs negative working capital (supplier-financed), so this understates a genuine cash advantage</t>
        </is>
      </c>
    </row>
    <row r="13">
      <c r="A13" s="5" t="inlineStr">
        <is>
          <t>Tax rate</t>
        </is>
      </c>
      <c r="B13" s="16" t="inlineStr">
        <is>
          <t>15%</t>
        </is>
      </c>
      <c r="C13" s="17" t="inlineStr">
        <is>
          <t>Near recent effective rate</t>
        </is>
      </c>
    </row>
    <row r="14">
      <c r="A14" s="3" t="inlineStr">
        <is>
          <t>Terminal growth</t>
        </is>
      </c>
      <c r="B14" s="14" t="inlineStr">
        <is>
          <t>2.5%</t>
        </is>
      </c>
      <c r="C14" s="15" t="inlineStr">
        <is>
          <t>Long-run nominal GDP-like</t>
        </is>
      </c>
    </row>
    <row r="15">
      <c r="A15" s="5" t="inlineStr">
        <is>
          <t>Risk-free rate</t>
        </is>
      </c>
      <c r="B15" s="16" t="inlineStr">
        <is>
          <t>4.3%</t>
        </is>
      </c>
      <c r="C15" s="17" t="inlineStr">
        <is>
          <t>Long Treasury</t>
        </is>
      </c>
    </row>
    <row r="16">
      <c r="A16" s="3" t="inlineStr">
        <is>
          <t>Equity risk premium</t>
        </is>
      </c>
      <c r="B16" s="14" t="inlineStr">
        <is>
          <t>5.5%</t>
        </is>
      </c>
      <c r="C16" s="15" t="inlineStr">
        <is>
          <t>Standard equity premium</t>
        </is>
      </c>
    </row>
    <row r="17">
      <c r="A17" s="5" t="inlineStr">
        <is>
          <t>Beta</t>
        </is>
      </c>
      <c r="B17" s="16" t="inlineStr">
        <is>
          <t>1.30</t>
        </is>
      </c>
      <c r="C17" s="17" t="inlineStr">
        <is>
          <t>Above-market systematic risk; published readings ranged ~1.3-1.5, the lower end chosen as a central view</t>
        </is>
      </c>
    </row>
    <row r="18">
      <c r="A18" s="3" t="inlineStr">
        <is>
          <t>Cost of debt</t>
        </is>
      </c>
      <c r="B18" s="14" t="inlineStr">
        <is>
          <t>5.0%</t>
        </is>
      </c>
      <c r="C18" s="15" t="inlineStr">
        <is>
          <t>High-grade issuer at current rates</t>
        </is>
      </c>
    </row>
    <row r="19">
      <c r="A19" s="5" t="inlineStr">
        <is>
          <t>Debt / total capital</t>
        </is>
      </c>
      <c r="B19" s="16" t="inlineStr">
        <is>
          <t>2.5%</t>
        </is>
      </c>
      <c r="C19" s="17" t="inlineStr">
        <is>
          <t>Minimal financial leverage relative to ~$2.6T market cap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Deterministic Central Case</t>
        </is>
      </c>
    </row>
    <row r="3">
      <c r="A3" s="2" t="inlineStr">
        <is>
          <t>Year</t>
        </is>
      </c>
      <c r="B3" s="2" t="inlineStr">
        <is>
          <t>Rev growth</t>
        </is>
      </c>
      <c r="C3" s="2" t="inlineStr">
        <is>
          <t>Op margin</t>
        </is>
      </c>
      <c r="D3" s="2" t="inlineStr">
        <is>
          <t>Capex %</t>
        </is>
      </c>
      <c r="E3" s="2" t="inlineStr">
        <is>
          <t>D&amp;A %</t>
        </is>
      </c>
      <c r="F3" s="2" t="inlineStr">
        <is>
          <t>ΔNWC %</t>
        </is>
      </c>
    </row>
    <row r="4">
      <c r="A4" s="3" t="inlineStr">
        <is>
          <t>FY2026</t>
        </is>
      </c>
      <c r="B4" s="18" t="n">
        <v>0.11</v>
      </c>
      <c r="C4" s="18" t="n">
        <v>0.12</v>
      </c>
      <c r="D4" s="18" t="n">
        <v>0.16</v>
      </c>
      <c r="E4" s="18" t="n">
        <v>0.058</v>
      </c>
      <c r="F4" s="18" t="n">
        <v>0</v>
      </c>
    </row>
    <row r="5">
      <c r="A5" s="5" t="inlineStr">
        <is>
          <t>FY2027</t>
        </is>
      </c>
      <c r="B5" s="19" t="n">
        <v>0.1</v>
      </c>
      <c r="C5" s="19" t="n">
        <v>0.125</v>
      </c>
      <c r="D5" s="19" t="n">
        <v>0.15</v>
      </c>
      <c r="E5" s="19" t="n">
        <v>0.06</v>
      </c>
      <c r="F5" s="19" t="n">
        <v>0</v>
      </c>
    </row>
    <row r="6">
      <c r="A6" s="3" t="inlineStr">
        <is>
          <t>FY2028</t>
        </is>
      </c>
      <c r="B6" s="18" t="n">
        <v>0.09</v>
      </c>
      <c r="C6" s="18" t="n">
        <v>0.13</v>
      </c>
      <c r="D6" s="18" t="n">
        <v>0.14</v>
      </c>
      <c r="E6" s="18" t="n">
        <v>0.062</v>
      </c>
      <c r="F6" s="18" t="n">
        <v>0</v>
      </c>
    </row>
    <row r="7">
      <c r="A7" s="5" t="inlineStr">
        <is>
          <t>FY2029</t>
        </is>
      </c>
      <c r="B7" s="19" t="n">
        <v>0.08</v>
      </c>
      <c r="C7" s="19" t="n">
        <v>0.135</v>
      </c>
      <c r="D7" s="19" t="n">
        <v>0.12</v>
      </c>
      <c r="E7" s="19" t="n">
        <v>0.064</v>
      </c>
      <c r="F7" s="19" t="n">
        <v>0</v>
      </c>
    </row>
    <row r="8">
      <c r="A8" s="3" t="inlineStr">
        <is>
          <t>FY2030</t>
        </is>
      </c>
      <c r="B8" s="18" t="n">
        <v>0.07000000000000001</v>
      </c>
      <c r="C8" s="18" t="n">
        <v>0.14</v>
      </c>
      <c r="D8" s="18" t="n">
        <v>0.11</v>
      </c>
      <c r="E8" s="18" t="n">
        <v>0.066</v>
      </c>
      <c r="F8" s="18" t="n">
        <v>0</v>
      </c>
    </row>
    <row r="9">
      <c r="A9" s="5" t="inlineStr">
        <is>
          <t>FY2031</t>
        </is>
      </c>
      <c r="B9" s="19" t="n">
        <v>0.06</v>
      </c>
      <c r="C9" s="19" t="n">
        <v>0.145</v>
      </c>
      <c r="D9" s="19" t="n">
        <v>0.1</v>
      </c>
      <c r="E9" s="19" t="n">
        <v>0.068</v>
      </c>
      <c r="F9" s="19" t="n">
        <v>0</v>
      </c>
    </row>
    <row r="10">
      <c r="A10" s="3" t="inlineStr">
        <is>
          <t>FY2032</t>
        </is>
      </c>
      <c r="B10" s="18" t="n">
        <v>0.06</v>
      </c>
      <c r="C10" s="18" t="n">
        <v>0.15</v>
      </c>
      <c r="D10" s="18" t="n">
        <v>0.09</v>
      </c>
      <c r="E10" s="18" t="n">
        <v>0.07000000000000001</v>
      </c>
      <c r="F10" s="18" t="n">
        <v>0</v>
      </c>
    </row>
    <row r="13">
      <c r="A13" s="2" t="inlineStr">
        <is>
          <t>Year</t>
        </is>
      </c>
      <c r="B13" s="2" t="inlineStr">
        <is>
          <t>Revenue</t>
        </is>
      </c>
      <c r="C13" s="2" t="inlineStr">
        <is>
          <t>EBIT</t>
        </is>
      </c>
      <c r="D13" s="2" t="inlineStr">
        <is>
          <t>NOPAT</t>
        </is>
      </c>
      <c r="E13" s="2" t="inlineStr">
        <is>
          <t>+ D&amp;A</t>
        </is>
      </c>
      <c r="F13" s="2" t="inlineStr">
        <is>
          <t>− Capex</t>
        </is>
      </c>
      <c r="G13" s="2" t="inlineStr">
        <is>
          <t>FCFF</t>
        </is>
      </c>
    </row>
    <row r="14">
      <c r="A14" s="5" t="inlineStr">
        <is>
          <t>FY2025</t>
        </is>
      </c>
      <c r="B14" s="20" t="n">
        <v>716900</v>
      </c>
      <c r="C14" s="21" t="n"/>
      <c r="D14" s="21" t="n"/>
      <c r="E14" s="21" t="n"/>
      <c r="F14" s="21" t="n"/>
      <c r="G14" s="21" t="n"/>
    </row>
    <row r="15">
      <c r="A15" s="5" t="inlineStr">
        <is>
          <t>FY2026</t>
        </is>
      </c>
      <c r="B15" s="20" t="n">
        <v>795759.0000000001</v>
      </c>
      <c r="C15" s="20" t="n">
        <v>95491.08000000002</v>
      </c>
      <c r="D15" s="20" t="n">
        <v>81167.41800000001</v>
      </c>
      <c r="E15" s="20" t="n">
        <v>46154.02200000001</v>
      </c>
      <c r="F15" s="20" t="n">
        <v>-127321.44</v>
      </c>
      <c r="G15" s="20" t="n">
        <v>0</v>
      </c>
    </row>
    <row r="16">
      <c r="A16" s="3" t="inlineStr">
        <is>
          <t>FY2027</t>
        </is>
      </c>
      <c r="B16" s="22" t="n">
        <v>875334.9000000003</v>
      </c>
      <c r="C16" s="22" t="n">
        <v>109416.8625</v>
      </c>
      <c r="D16" s="22" t="n">
        <v>93004.33312500002</v>
      </c>
      <c r="E16" s="22" t="n">
        <v>52520.09400000001</v>
      </c>
      <c r="F16" s="22" t="n">
        <v>-131300.235</v>
      </c>
      <c r="G16" s="22" t="n">
        <v>14224.192125</v>
      </c>
    </row>
    <row r="17">
      <c r="A17" s="5" t="inlineStr">
        <is>
          <t>FY2028</t>
        </is>
      </c>
      <c r="B17" s="20" t="n">
        <v>954115.0410000003</v>
      </c>
      <c r="C17" s="20" t="n">
        <v>124034.95533</v>
      </c>
      <c r="D17" s="20" t="n">
        <v>105429.7120305</v>
      </c>
      <c r="E17" s="20" t="n">
        <v>59155.13254200002</v>
      </c>
      <c r="F17" s="20" t="n">
        <v>-133576.1057400001</v>
      </c>
      <c r="G17" s="20" t="n">
        <v>31008.73883249998</v>
      </c>
    </row>
    <row r="18">
      <c r="A18" s="3" t="inlineStr">
        <is>
          <t>FY2029</t>
        </is>
      </c>
      <c r="B18" s="22" t="n">
        <v>1030444.24428</v>
      </c>
      <c r="C18" s="22" t="n">
        <v>139109.9729778001</v>
      </c>
      <c r="D18" s="22" t="n">
        <v>118243.4770311301</v>
      </c>
      <c r="E18" s="22" t="n">
        <v>65948.43163392003</v>
      </c>
      <c r="F18" s="22" t="n">
        <v>-123653.3093136001</v>
      </c>
      <c r="G18" s="22" t="n">
        <v>60538.59935145003</v>
      </c>
    </row>
    <row r="19">
      <c r="A19" s="5" t="inlineStr">
        <is>
          <t>FY2030</t>
        </is>
      </c>
      <c r="B19" s="20" t="n">
        <v>1102575.341379601</v>
      </c>
      <c r="C19" s="20" t="n">
        <v>154360.5477931441</v>
      </c>
      <c r="D19" s="20" t="n">
        <v>131206.4656241725</v>
      </c>
      <c r="E19" s="20" t="n">
        <v>72769.97253105365</v>
      </c>
      <c r="F19" s="20" t="n">
        <v>-121283.2875517561</v>
      </c>
      <c r="G19" s="20" t="n">
        <v>82693.15060347006</v>
      </c>
    </row>
    <row r="20">
      <c r="A20" s="3" t="inlineStr">
        <is>
          <t>FY2031</t>
        </is>
      </c>
      <c r="B20" s="22" t="n">
        <v>1168729.861862377</v>
      </c>
      <c r="C20" s="22" t="n">
        <v>169465.8299700446</v>
      </c>
      <c r="D20" s="22" t="n">
        <v>144045.9554745379</v>
      </c>
      <c r="E20" s="22" t="n">
        <v>79473.63060664161</v>
      </c>
      <c r="F20" s="22" t="n">
        <v>-116872.9861862377</v>
      </c>
      <c r="G20" s="22" t="n">
        <v>106646.5998949418</v>
      </c>
    </row>
    <row r="21">
      <c r="A21" s="5" t="inlineStr">
        <is>
          <t>FY2032</t>
        </is>
      </c>
      <c r="B21" s="20" t="n">
        <v>1238853.653574119</v>
      </c>
      <c r="C21" s="20" t="n">
        <v>185828.0480361179</v>
      </c>
      <c r="D21" s="20" t="n">
        <v>157953.8408307002</v>
      </c>
      <c r="E21" s="20" t="n">
        <v>86719.75575018836</v>
      </c>
      <c r="F21" s="20" t="n">
        <v>-111496.8288216707</v>
      </c>
      <c r="G21" s="20" t="n">
        <v>133176.7677592178</v>
      </c>
    </row>
    <row r="23">
      <c r="A23" s="13" t="inlineStr">
        <is>
          <t>All currency figures in fixture units (USD millions).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Continuous MC</t>
        </is>
      </c>
    </row>
    <row r="3">
      <c r="A3" s="2" t="inlineStr">
        <is>
          <t>Statistic</t>
        </is>
      </c>
      <c r="B3" s="2" t="inlineStr">
        <is>
          <t>Value</t>
        </is>
      </c>
    </row>
    <row r="4">
      <c r="A4" s="3" t="inlineStr">
        <is>
          <t>z (paths)</t>
        </is>
      </c>
      <c r="B4" s="23" t="n">
        <v>2000</v>
      </c>
    </row>
    <row r="5">
      <c r="A5" s="5" t="inlineStr">
        <is>
          <t>Decision margin</t>
        </is>
      </c>
      <c r="B5" s="11" t="n">
        <v>0.83231945469409</v>
      </c>
    </row>
    <row r="6">
      <c r="A6" s="3" t="inlineStr">
        <is>
          <t>z_pct</t>
        </is>
      </c>
      <c r="B6" s="23" t="n">
        <v>1000</v>
      </c>
    </row>
    <row r="7">
      <c r="A7" s="5" t="inlineStr">
        <is>
          <t>z_elbow</t>
        </is>
      </c>
      <c r="B7" s="24" t="n">
        <v>2000</v>
      </c>
    </row>
    <row r="8">
      <c r="A8" s="3" t="inlineStr">
        <is>
          <t>Mean</t>
        </is>
      </c>
      <c r="B8" s="10" t="n">
        <v>98.37195416354237</v>
      </c>
    </row>
    <row r="9">
      <c r="A9" s="5" t="inlineStr">
        <is>
          <t>Median</t>
        </is>
      </c>
      <c r="B9" s="9" t="n">
        <v>95.81881804749626</v>
      </c>
    </row>
    <row r="10">
      <c r="A10" s="3" t="inlineStr">
        <is>
          <t>Std dev</t>
        </is>
      </c>
      <c r="B10" s="10" t="n">
        <v>29.98028356413415</v>
      </c>
    </row>
    <row r="11">
      <c r="A11" s="5" t="inlineStr">
        <is>
          <t>Min</t>
        </is>
      </c>
      <c r="B11" s="9" t="n">
        <v>8.363850783118201</v>
      </c>
    </row>
    <row r="12">
      <c r="A12" s="3" t="inlineStr">
        <is>
          <t>Max</t>
        </is>
      </c>
      <c r="B12" s="10" t="n">
        <v>223.7114047607055</v>
      </c>
    </row>
    <row r="13">
      <c r="A13" s="5" t="inlineStr">
        <is>
          <t>Fraction negative</t>
        </is>
      </c>
      <c r="B13" s="11" t="n">
        <v>0</v>
      </c>
    </row>
    <row r="15">
      <c r="A15" s="2" t="inlineStr">
        <is>
          <t>Percentile</t>
        </is>
      </c>
      <c r="B15" s="2" t="inlineStr">
        <is>
          <t>Value</t>
        </is>
      </c>
    </row>
    <row r="16">
      <c r="A16" s="3" t="inlineStr">
        <is>
          <t>P5</t>
        </is>
      </c>
      <c r="B16" s="10" t="n">
        <v>53.77172528264273</v>
      </c>
    </row>
    <row r="17">
      <c r="A17" s="5" t="inlineStr">
        <is>
          <t>P10</t>
        </is>
      </c>
      <c r="B17" s="9" t="n">
        <v>62.77527365455845</v>
      </c>
    </row>
    <row r="18">
      <c r="A18" s="3" t="inlineStr">
        <is>
          <t>P25</t>
        </is>
      </c>
      <c r="B18" s="10" t="n">
        <v>76.79034982144391</v>
      </c>
    </row>
    <row r="19">
      <c r="A19" s="5" t="inlineStr">
        <is>
          <t>P50</t>
        </is>
      </c>
      <c r="B19" s="9" t="n">
        <v>95.81881804749626</v>
      </c>
    </row>
    <row r="20">
      <c r="A20" s="3" t="inlineStr">
        <is>
          <t>P75</t>
        </is>
      </c>
      <c r="B20" s="10" t="n">
        <v>117.5966974409024</v>
      </c>
    </row>
    <row r="21">
      <c r="A21" s="5" t="inlineStr">
        <is>
          <t>P90</t>
        </is>
      </c>
      <c r="B21" s="9" t="n">
        <v>138.979071513198</v>
      </c>
    </row>
    <row r="22">
      <c r="A22" s="3" t="inlineStr">
        <is>
          <t>P95</t>
        </is>
      </c>
      <c r="B22" s="10" t="n">
        <v>151.940886380129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</cols>
  <sheetData>
    <row r="1">
      <c r="A1" s="1" t="inlineStr">
        <is>
          <t>Shocked MC</t>
        </is>
      </c>
    </row>
    <row r="3">
      <c r="A3" s="2" t="inlineStr">
        <is>
          <t>Statistic</t>
        </is>
      </c>
      <c r="B3" s="2" t="inlineStr">
        <is>
          <t>Value</t>
        </is>
      </c>
    </row>
    <row r="4">
      <c r="A4" s="3" t="inlineStr">
        <is>
          <t>z (paths)</t>
        </is>
      </c>
      <c r="B4" s="23" t="n">
        <v>2000</v>
      </c>
    </row>
    <row r="5">
      <c r="A5" s="5" t="inlineStr">
        <is>
          <t>Decision margin</t>
        </is>
      </c>
      <c r="B5" s="11" t="n">
        <v>0.3623999721295562</v>
      </c>
    </row>
    <row r="6">
      <c r="A6" s="3" t="inlineStr">
        <is>
          <t>z_pct</t>
        </is>
      </c>
      <c r="B6" s="23" t="n">
        <v>2000</v>
      </c>
    </row>
    <row r="7">
      <c r="A7" s="5" t="inlineStr">
        <is>
          <t>z_elbow</t>
        </is>
      </c>
      <c r="B7" s="24" t="n">
        <v>1000</v>
      </c>
    </row>
    <row r="8">
      <c r="A8" s="3" t="inlineStr">
        <is>
          <t>Mean</t>
        </is>
      </c>
      <c r="B8" s="10" t="n">
        <v>90.86487085812341</v>
      </c>
    </row>
    <row r="9">
      <c r="A9" s="5" t="inlineStr">
        <is>
          <t>Median</t>
        </is>
      </c>
      <c r="B9" s="9" t="n">
        <v>88.64442891574731</v>
      </c>
    </row>
    <row r="10">
      <c r="A10" s="3" t="inlineStr">
        <is>
          <t>Std dev</t>
        </is>
      </c>
      <c r="B10" s="10" t="n">
        <v>32.48226855404261</v>
      </c>
    </row>
    <row r="11">
      <c r="A11" s="5" t="inlineStr">
        <is>
          <t>Min</t>
        </is>
      </c>
      <c r="B11" s="9" t="n">
        <v>-1.437303961475363</v>
      </c>
    </row>
    <row r="12">
      <c r="A12" s="3" t="inlineStr">
        <is>
          <t>Max</t>
        </is>
      </c>
      <c r="B12" s="10" t="n">
        <v>234.1207614436489</v>
      </c>
    </row>
    <row r="13">
      <c r="A13" s="5" t="inlineStr">
        <is>
          <t>Fraction negative</t>
        </is>
      </c>
      <c r="B13" s="11" t="n">
        <v>0.0005</v>
      </c>
    </row>
    <row r="15">
      <c r="A15" s="2" t="inlineStr">
        <is>
          <t>Percentile</t>
        </is>
      </c>
      <c r="B15" s="2" t="inlineStr">
        <is>
          <t>Value</t>
        </is>
      </c>
    </row>
    <row r="16">
      <c r="A16" s="3" t="inlineStr">
        <is>
          <t>P5</t>
        </is>
      </c>
      <c r="B16" s="10" t="n">
        <v>40.19974965738871</v>
      </c>
    </row>
    <row r="17">
      <c r="A17" s="5" t="inlineStr">
        <is>
          <t>P10</t>
        </is>
      </c>
      <c r="B17" s="9" t="n">
        <v>52.04119842306322</v>
      </c>
    </row>
    <row r="18">
      <c r="A18" s="3" t="inlineStr">
        <is>
          <t>P25</t>
        </is>
      </c>
      <c r="B18" s="10" t="n">
        <v>68.39101475545449</v>
      </c>
    </row>
    <row r="19">
      <c r="A19" s="5" t="inlineStr">
        <is>
          <t>P50</t>
        </is>
      </c>
      <c r="B19" s="9" t="n">
        <v>88.64442891574731</v>
      </c>
    </row>
    <row r="20">
      <c r="A20" s="3" t="inlineStr">
        <is>
          <t>P75</t>
        </is>
      </c>
      <c r="B20" s="10" t="n">
        <v>110.2564355733862</v>
      </c>
    </row>
    <row r="21">
      <c r="A21" s="5" t="inlineStr">
        <is>
          <t>P90</t>
        </is>
      </c>
      <c r="B21" s="9" t="n">
        <v>132.1395318179921</v>
      </c>
    </row>
    <row r="22">
      <c r="A22" s="3" t="inlineStr">
        <is>
          <t>P95</t>
        </is>
      </c>
      <c r="B22" s="10" t="n">
        <v>146.0818944570668</v>
      </c>
    </row>
    <row r="24">
      <c r="A24" s="2" t="inlineStr">
        <is>
          <t>Channel</t>
        </is>
      </c>
      <c r="B24" s="2" t="inlineStr">
        <is>
          <t>Fires (all)</t>
        </is>
      </c>
      <c r="C24" s="2" t="inlineStr">
        <is>
          <t>Fires (worst 5%)</t>
        </is>
      </c>
    </row>
    <row r="25">
      <c r="A25" s="5" t="inlineStr">
        <is>
          <t>Revenue</t>
        </is>
      </c>
      <c r="B25" s="5" t="n">
        <v>448</v>
      </c>
      <c r="C25" s="5" t="n">
        <v>97</v>
      </c>
    </row>
    <row r="26">
      <c r="A26" s="3" t="inlineStr">
        <is>
          <t>Margin</t>
        </is>
      </c>
      <c r="B26" s="3" t="n">
        <v>417</v>
      </c>
      <c r="C26" s="3" t="n">
        <v>127</v>
      </c>
    </row>
    <row r="27">
      <c r="A27" s="5" t="inlineStr">
        <is>
          <t>Funding</t>
        </is>
      </c>
      <c r="B27" s="5" t="n">
        <v>436</v>
      </c>
      <c r="C27" s="5" t="n">
        <v>44</v>
      </c>
    </row>
    <row r="28">
      <c r="A28" s="3" t="inlineStr">
        <is>
          <t>Strategic</t>
        </is>
      </c>
      <c r="B28" s="3" t="n">
        <v>415</v>
      </c>
      <c r="C28" s="3" t="n">
        <v>52</v>
      </c>
    </row>
    <row r="29">
      <c r="A29" s="5" t="inlineStr">
        <is>
          <t>Cash</t>
        </is>
      </c>
      <c r="B29" s="5" t="n">
        <v>453</v>
      </c>
      <c r="C29" s="5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Seed Robustness</t>
        </is>
      </c>
    </row>
    <row r="3">
      <c r="A3" s="2" t="inlineStr">
        <is>
          <t>Seed</t>
        </is>
      </c>
      <c r="B3" s="2" t="inlineStr">
        <is>
          <t>z* (cont)</t>
        </is>
      </c>
      <c r="C3" s="2" t="inlineStr">
        <is>
          <t>cont margin</t>
        </is>
      </c>
      <c r="D3" s="2" t="inlineStr">
        <is>
          <t>z** (shock)</t>
        </is>
      </c>
      <c r="E3" s="2" t="inlineStr">
        <is>
          <t>shock margin</t>
        </is>
      </c>
    </row>
    <row r="4">
      <c r="A4" s="3" t="inlineStr">
        <is>
          <t>42</t>
        </is>
      </c>
      <c r="B4" s="3" t="n">
        <v>2000</v>
      </c>
      <c r="C4" s="12" t="n">
        <v>0.83231945469409</v>
      </c>
      <c r="D4" s="3" t="n">
        <v>2000</v>
      </c>
      <c r="E4" s="12" t="n">
        <v>0.3623999721295562</v>
      </c>
    </row>
    <row r="5">
      <c r="A5" s="5" t="inlineStr">
        <is>
          <t>99</t>
        </is>
      </c>
      <c r="B5" s="5" t="n">
        <v>3000</v>
      </c>
      <c r="C5" s="11" t="n">
        <v>1.015088005356654</v>
      </c>
      <c r="D5" s="5" t="n">
        <v>1500</v>
      </c>
      <c r="E5" s="11" t="n">
        <v>0.02957756913958104</v>
      </c>
    </row>
    <row r="6">
      <c r="A6" s="3" t="inlineStr">
        <is>
          <t>123</t>
        </is>
      </c>
      <c r="B6" s="3" t="n">
        <v>1500</v>
      </c>
      <c r="C6" s="12" t="n">
        <v>0.2501801047840921</v>
      </c>
      <c r="D6" s="3" t="n">
        <v>1500</v>
      </c>
      <c r="E6" s="12" t="n">
        <v>0.6154554191216762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2026-06-09T10:23:17Z</dcterms:created>
  <dcterms:modified xmlns:dcterms="http://purl.org/dc/terms/" xmlns:xsi="http://www.w3.org/2001/XMLSchema-instance" xsi:type="dcterms:W3CDTF">2026-06-09T10:23:17Z</dcterms:modified>
</cp:coreProperties>
</file>